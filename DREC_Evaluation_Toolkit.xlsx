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 Read Me" sheetId="1" state="visible" r:id="rId3"/>
    <sheet name="1. Triage Tool" sheetId="2" state="visible" r:id="rId4"/>
    <sheet name="2. Submission Checklist" sheetId="3" state="visible" r:id="rId5"/>
    <sheet name="3. Scoring Rubric" sheetId="4" state="visible" r:id="rId6"/>
    <sheet name="4. Decisions Register"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<sst xmlns="http://schemas.openxmlformats.org/spreadsheetml/2006/main" count="152" uniqueCount="141">
  <si>
    <t xml:space="preserve">DREC EVALUATION TOOLKIT — Department of Commerce, University of Delhi</t>
  </si>
  <si>
    <t xml:space="preserve">Departmental Research Ethics Committee (DREC) | Ref: DU-DoC-DREC-2025-01 | Version 1.0 | AY 2025-26</t>
  </si>
  <si>
    <t xml:space="preserve">PURPOSE</t>
  </si>
  <si>
    <t xml:space="preserve">A single working file for the DREC to triage, screen, score and record PhD ethics-clearance applications consistently and transparently. It operationalises Parts II–V of the DREC Guidelines.</t>
  </si>
  <si>
    <t xml:space="preserve">HOW THE SHEETS FIT THE WORKFLOW</t>
  </si>
  <si>
    <t xml:space="preserve">Step 1 — Triage</t>
  </si>
  <si>
    <t xml:space="preserve">Sheet '1. Triage Tool'. Member Secretary answers 8 yes/no questions; the tool returns the correct review pathway (Full Board / Expedited / Self-Declaration).</t>
  </si>
  <si>
    <t xml:space="preserve">Step 2 — Completeness</t>
  </si>
  <si>
    <t xml:space="preserve">Sheet '2. Submission Checklist'. Confirm every required document has been received BEFORE review. Incomplete applications are returned without review (Guideline 4.2).</t>
  </si>
  <si>
    <t xml:space="preserve">Step 3 — Scoring</t>
  </si>
  <si>
    <t xml:space="preserve">Sheet '3. Scoring Rubric'. Each reviewer scores the proposal against the 9 review criteria (Guideline 4.4). Copy the sheet once per reviewer/proposal. The tool recommends a decision.</t>
  </si>
  <si>
    <t xml:space="preserve">Step 4 — Record</t>
  </si>
  <si>
    <t xml:space="preserve">Sheet '4. Decisions Register'. The anonymised public record of every decision (Guideline 1.3). Posted on the departmental notice board for transparency and audit.</t>
  </si>
  <si>
    <t xml:space="preserve">ROLES &amp; QUORUM</t>
  </si>
  <si>
    <t xml:space="preserve">Full Board: quorum of 4 incl. Chairperson or Member Secretary, two faculty, and the External Member (mandatory). Expedited: Chairperson + 2 designated faculty. Self-Declaration: acknowledged by Member Secretary.</t>
  </si>
  <si>
    <t xml:space="preserve">DECISION OUTCOMES</t>
  </si>
  <si>
    <t xml:space="preserve">APPROVED (ECC issued, valid 24 months) | APPROVED WITH CONDITIONS (15 working days to comply) | REVISE &amp; RESUBMIT (re-reviewed in 3 weeks) | REJECTED (right of appeal within 21 days).</t>
  </si>
  <si>
    <t xml:space="preserve">INPUT CELLS</t>
  </si>
  <si>
    <t xml:space="preserve">Cells shaded pale-yellow are for data entry (use the dropdowns). Cells shaded pale-green are calculated — do not type over them.</t>
  </si>
  <si>
    <t xml:space="preserve">LEGEND</t>
  </si>
  <si>
    <t xml:space="preserve">Pale yellow = enter here   |   Pale green = auto-result   |   Navy/blue = headings</t>
  </si>
  <si>
    <t xml:space="preserve">Pale yellow input</t>
  </si>
  <si>
    <t xml:space="preserve">Pale green auto-result</t>
  </si>
  <si>
    <t xml:space="preserve">STEP 1 — TRIAGE DECISION TOOL  (DREC Guidelines §2.1, §2.2, §4.3)</t>
  </si>
  <si>
    <t xml:space="preserve">Answer each question for THIS application. The pathway is computed automatically below.</t>
  </si>
  <si>
    <t xml:space="preserve">Applicant / Scholar:</t>
  </si>
  <si>
    <t xml:space="preserve">Enrolment No.:</t>
  </si>
  <si>
    <t xml:space="preserve">Working title:</t>
  </si>
  <si>
    <t xml:space="preserve">Screened by (Member Secretary):</t>
  </si>
  <si>
    <t xml:space="preserve">Date:</t>
  </si>
  <si>
    <t xml:space="preserve">SCREENING QUESTIONS</t>
  </si>
  <si>
    <t xml:space="preserve">Q1. Does the study involve NO primary data collection at all — i.e. only published / public-domain secondary data, a literature review, meta-analysis, or bibliometric work? (Guideline §2.2, §4.3.3)</t>
  </si>
  <si>
    <t xml:space="preserve">Q2. CATEGORY A — Does it involve human participants? (surveys, interviews, focus groups, observation where people are aware, experiments, simulations)</t>
  </si>
  <si>
    <t xml:space="preserve">Q3. CATEGORY B — Does it involve sensitive personal data? (health, finance, caste, religion, political opinion, HR/salary records, minors or other vulnerable groups, biometric/location, social-media data)</t>
  </si>
  <si>
    <t xml:space="preserve">Q4. CATEGORY C — Secondary data containing identifiable personal information, or restricted-use / NDA datasets with privacy implications?</t>
  </si>
  <si>
    <t xml:space="preserve">Q5. CATEGORY D — Cross-border or multi-site research? (respondents/data outside India, GDPR, two+ organisations, international funding)</t>
  </si>
  <si>
    <t xml:space="preserve">Q6. CATEGORY E — Potential dual-use? (competitive intelligence, trade secrets, findings usable to discriminate, consultancy/commercial interests)</t>
  </si>
  <si>
    <t xml:space="preserve">Q7. RISK — From the Risk Assessment (DREC-04), is the study more than MINIMAL risk to participants?</t>
  </si>
  <si>
    <t xml:space="preserve">Q8. EXEMPTION — Is the data fully anonymous / de-identified, in the public domain, AND minimal risk, qualifying under Guideline §2.2?</t>
  </si>
  <si>
    <t xml:space="preserve">COMPUTED PATHWAY</t>
  </si>
  <si>
    <t xml:space="preserve">Recommended review pathway:</t>
  </si>
  <si>
    <t xml:space="preserve">Risk flag:</t>
  </si>
  <si>
    <t xml:space="preserve">Note on Category C: a license-restricted dataset with NO personal identifiers (e.g. PROWESS, Bloomberg under an institutional licence) may be handled by Expedited review — answer Q4 'No' and Q8 'Yes' in that case. Answer Q4 'Yes' only where identifiable personal information is present. Any 'Yes' to Q3–Q7 routes to Full Board. When in doubt, escalate to Full Board.</t>
  </si>
  <si>
    <t xml:space="preserve">STEP 2 — SUBMISSION &amp; COMPLETENESS CHECKLIST  (DREC Guidelines §4.2)</t>
  </si>
  <si>
    <t xml:space="preserve">Verify completeness BEFORE review. Incomplete applications are returned without review.</t>
  </si>
  <si>
    <t xml:space="preserve">#</t>
  </si>
  <si>
    <t xml:space="preserve">Required document</t>
  </si>
  <si>
    <t xml:space="preserve">Requirement</t>
  </si>
  <si>
    <t xml:space="preserve">Received?</t>
  </si>
  <si>
    <t xml:space="preserve">Notes / version / date</t>
  </si>
  <si>
    <t xml:space="preserve">1</t>
  </si>
  <si>
    <t xml:space="preserve">DREC Application for Ethical Clearance (Form DREC-01)</t>
  </si>
  <si>
    <t xml:space="preserve">Mandatory</t>
  </si>
  <si>
    <t xml:space="preserve">2</t>
  </si>
  <si>
    <t xml:space="preserve">Approved Synopsis / Research Proposal — supervisor-signed</t>
  </si>
  <si>
    <t xml:space="preserve">3</t>
  </si>
  <si>
    <t xml:space="preserve">Research Protocol (methods, instruments, sampling plan)</t>
  </si>
  <si>
    <t xml:space="preserve">4</t>
  </si>
  <si>
    <t xml:space="preserve">Draft Questionnaire / Interview Guide / Observation Schedule</t>
  </si>
  <si>
    <t xml:space="preserve">If primary data</t>
  </si>
  <si>
    <t xml:space="preserve">5</t>
  </si>
  <si>
    <t xml:space="preserve">Participant Information Sheet (PIS) — English + regional language</t>
  </si>
  <si>
    <t xml:space="preserve">If human participants</t>
  </si>
  <si>
    <t xml:space="preserve">6</t>
  </si>
  <si>
    <t xml:space="preserve">Informed Consent Form (ICF)</t>
  </si>
  <si>
    <t xml:space="preserve">7</t>
  </si>
  <si>
    <t xml:space="preserve">Organisational / Institutional Access Permission Letter</t>
  </si>
  <si>
    <t xml:space="preserve">If organisational data</t>
  </si>
  <si>
    <t xml:space="preserve">8</t>
  </si>
  <si>
    <t xml:space="preserve">Data Management Plan (DMP)</t>
  </si>
  <si>
    <t xml:space="preserve">9</t>
  </si>
  <si>
    <t xml:space="preserve">AI Usage Declaration (Form DREC-03)</t>
  </si>
  <si>
    <t xml:space="preserve">10</t>
  </si>
  <si>
    <t xml:space="preserve">Risk Assessment Form (Form DREC-04)</t>
  </si>
  <si>
    <t xml:space="preserve">11</t>
  </si>
  <si>
    <t xml:space="preserve">Supervisor's Forwarding Letter / Certificate</t>
  </si>
  <si>
    <t xml:space="preserve">12</t>
  </si>
  <si>
    <t xml:space="preserve">Conflict of Interest Declaration (Form DREC-05)</t>
  </si>
  <si>
    <t xml:space="preserve">COMPLETENESS VERDICT</t>
  </si>
  <si>
    <t xml:space="preserve">Mandatory items outstanding:</t>
  </si>
  <si>
    <t xml:space="preserve">Status:</t>
  </si>
  <si>
    <t xml:space="preserve">STEP 3 — REVIEWER SCORING RUBRIC  (DREC Guidelines §4.4)</t>
  </si>
  <si>
    <t xml:space="preserve">One rubric per reviewer per proposal. Score each criterion, then read the recommended decision.</t>
  </si>
  <si>
    <t xml:space="preserve">Proposal / DREC Ref No.:</t>
  </si>
  <si>
    <t xml:space="preserve">Scholar:</t>
  </si>
  <si>
    <t xml:space="preserve">Reviewer:</t>
  </si>
  <si>
    <t xml:space="preserve">Criterion</t>
  </si>
  <si>
    <t xml:space="preserve">Assessment questions</t>
  </si>
  <si>
    <t xml:space="preserve">Score</t>
  </si>
  <si>
    <t xml:space="preserve">Reviewer comment</t>
  </si>
  <si>
    <t xml:space="preserve">1. Scientific Merit</t>
  </si>
  <si>
    <t xml:space="preserve">Is the research question clearly defined? Is the methodology appropriate and rigorous? Is the sampling strategy justified?</t>
  </si>
  <si>
    <t xml:space="preserve">2. Voluntary Participation</t>
  </si>
  <si>
    <t xml:space="preserve">Are recruitment methods free from coercion? Are incentives proportionate and non-undue? Is power-asymmetry addressed?</t>
  </si>
  <si>
    <t xml:space="preserve">3. Informed Consent</t>
  </si>
  <si>
    <t xml:space="preserve">Is the PIS complete, clear and in accessible language? Is the ICF adequately worded? Is the consent process valid (incl. minors/guardians)?</t>
  </si>
  <si>
    <t xml:space="preserve">4. Risk-Benefit Balance</t>
  </si>
  <si>
    <t xml:space="preserve">Are risks to participants minimal and justified? Are safeguards in place? Are benefits realistic? Are debriefing/referral routes provided?</t>
  </si>
  <si>
    <t xml:space="preserve">5. Privacy &amp; Confidentiality</t>
  </si>
  <si>
    <t xml:space="preserve">Are anonymisation and de-identification procedures adequate? Are identifiers protected in outputs and annexures? Does the DMP comply with the DPDP Act 2023?</t>
  </si>
  <si>
    <t xml:space="preserve">6. Data Security</t>
  </si>
  <si>
    <t xml:space="preserve">Is storage secure (encrypted, access-controlled)? Is the retention/destruction schedule defined? Is there a breach-response protocol?</t>
  </si>
  <si>
    <t xml:space="preserve">7. Vulnerable Populations</t>
  </si>
  <si>
    <t xml:space="preserve">Are additional safeguards in place for minors, employees in power-asymmetric settings, or economically disadvantaged groups?</t>
  </si>
  <si>
    <t xml:space="preserve">8. AI &amp; Digital Ethics</t>
  </si>
  <si>
    <t xml:space="preserve">Is AI usage disclosed (DREC-03)? Are social-media / scraping methods ethical and ToS-compliant? Is synthetic data flagged?</t>
  </si>
  <si>
    <t xml:space="preserve">9. Legal Compliance</t>
  </si>
  <si>
    <t xml:space="preserve">Does the protocol comply with the DPDP Act 2023 (and GDPR if applicable)? Are cross-jurisdictional issues addressed?</t>
  </si>
  <si>
    <t xml:space="preserve">DECISION SUPPORT</t>
  </si>
  <si>
    <t xml:space="preserve">'Not met' count:</t>
  </si>
  <si>
    <t xml:space="preserve">'Major concern' count:</t>
  </si>
  <si>
    <t xml:space="preserve">'Minor revision' count:</t>
  </si>
  <si>
    <t xml:space="preserve">'Met' count:</t>
  </si>
  <si>
    <t xml:space="preserve">RECOMMENDED DECISION:</t>
  </si>
  <si>
    <t xml:space="preserve">Overall reviewer remarks:</t>
  </si>
  <si>
    <t xml:space="preserve">STEP 4 — DREC PUBLIC DECISIONS REGISTER  (anonymised — Guideline §1.3)</t>
  </si>
  <si>
    <t xml:space="preserve">Anonymised record of every decision, posted on the departmental notice board for transparency &amp; audit. Personal identifiers are NOT recorded here.</t>
  </si>
  <si>
    <t xml:space="preserve">DREC Ref No.</t>
  </si>
  <si>
    <t xml:space="preserve">Date received</t>
  </si>
  <si>
    <t xml:space="preserve">Research area</t>
  </si>
  <si>
    <t xml:space="preserve">Category(ies)</t>
  </si>
  <si>
    <t xml:space="preserve">Pathway</t>
  </si>
  <si>
    <t xml:space="preserve">Date reviewed</t>
  </si>
  <si>
    <t xml:space="preserve">Decision</t>
  </si>
  <si>
    <t xml:space="preserve">Conditions (summary)</t>
  </si>
  <si>
    <t xml:space="preserve">ECC No.</t>
  </si>
  <si>
    <t xml:space="preserve">ECC issue date</t>
  </si>
  <si>
    <t xml:space="preserve">Valid until</t>
  </si>
  <si>
    <t xml:space="preserve">Appeal?</t>
  </si>
  <si>
    <t xml:space="preserve">Status</t>
  </si>
  <si>
    <t xml:space="preserve">DU-DoC-DREC-2025-001</t>
  </si>
  <si>
    <t xml:space="preserve">2026-05-24</t>
  </si>
  <si>
    <t xml:space="preserve">Consumer behaviour</t>
  </si>
  <si>
    <t xml:space="preserve">A</t>
  </si>
  <si>
    <t xml:space="preserve">Full Board</t>
  </si>
  <si>
    <t xml:space="preserve">Approved w/ conditions</t>
  </si>
  <si>
    <t xml:space="preserve">Revise consent wording; add regional PIS</t>
  </si>
  <si>
    <t xml:space="preserve">ECC-2025-001</t>
  </si>
  <si>
    <t xml:space="preserve">No</t>
  </si>
  <si>
    <t xml:space="preserve">Conditions pending</t>
  </si>
  <si>
    <t xml:space="preserve">First row is a worked example (grey italics) — delete before use. 'Valid until' auto-calculates as ECC issue date + 24 months. Maintain the full signed/identified version in the confidential DREC file; this anonymised sheet is the public record.</t>
  </si>
</sst>
</file>

<file path=xl/styles.xml><?xml version="1.0" encoding="utf-8"?>
<styleSheet xmlns="http://schemas.openxmlformats.org/spreadsheetml/2006/main">
  <numFmts count="3">
    <numFmt numFmtId="164" formatCode="General"/>
    <numFmt numFmtId="165" formatCode="General"/>
    <numFmt numFmtId="166" formatCode="yyyy\-mm\-dd"/>
  </numFmts>
  <fonts count="18">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9"/>
      <color rgb="FF2E5496"/>
      <name val="Arial"/>
      <family val="0"/>
      <charset val="1"/>
    </font>
    <font>
      <b val="true"/>
      <sz val="10"/>
      <color rgb="FF1F3864"/>
      <name val="Arial"/>
      <family val="0"/>
      <charset val="1"/>
    </font>
    <font>
      <sz val="10"/>
      <color rgb="FF000000"/>
      <name val="Arial"/>
      <family val="0"/>
      <charset val="1"/>
    </font>
    <font>
      <b val="true"/>
      <sz val="10"/>
      <color rgb="FFFFFFFF"/>
      <name val="Arial"/>
      <family val="0"/>
      <charset val="1"/>
    </font>
    <font>
      <b val="true"/>
      <sz val="12"/>
      <color rgb="FFFFFFFF"/>
      <name val="Arial"/>
      <family val="0"/>
      <charset val="1"/>
    </font>
    <font>
      <b val="true"/>
      <sz val="10"/>
      <color rgb="FF000000"/>
      <name val="Arial"/>
      <family val="0"/>
      <charset val="1"/>
    </font>
    <font>
      <b val="true"/>
      <sz val="11"/>
      <color rgb="FF1F3864"/>
      <name val="Arial"/>
      <family val="0"/>
      <charset val="1"/>
    </font>
    <font>
      <i val="true"/>
      <sz val="9"/>
      <color rgb="FF595959"/>
      <name val="Arial"/>
      <family val="0"/>
      <charset val="1"/>
    </font>
    <font>
      <b val="true"/>
      <sz val="9"/>
      <color rgb="FF000000"/>
      <name val="Arial"/>
      <family val="0"/>
      <charset val="1"/>
    </font>
    <font>
      <sz val="9"/>
      <color rgb="FF000000"/>
      <name val="Arial"/>
      <family val="0"/>
      <charset val="1"/>
    </font>
    <font>
      <b val="true"/>
      <sz val="11"/>
      <color rgb="FF000000"/>
      <name val="Arial"/>
      <family val="0"/>
      <charset val="1"/>
    </font>
    <font>
      <b val="true"/>
      <sz val="9"/>
      <color rgb="FFFFFFFF"/>
      <name val="Arial"/>
      <family val="0"/>
      <charset val="1"/>
    </font>
    <font>
      <i val="true"/>
      <sz val="9"/>
      <color rgb="FF808080"/>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2E5496"/>
        <bgColor rgb="FF1F3864"/>
      </patternFill>
    </fill>
    <fill>
      <patternFill patternType="solid">
        <fgColor rgb="FFFFF2CC"/>
        <bgColor rgb="FFF2F2F2"/>
      </patternFill>
    </fill>
    <fill>
      <patternFill patternType="solid">
        <fgColor rgb="FFE2EFDA"/>
        <bgColor rgb="FFF2F2F2"/>
      </patternFill>
    </fill>
    <fill>
      <patternFill patternType="solid">
        <fgColor rgb="FFF2F2F2"/>
        <bgColor rgb="FFE2EFDA"/>
      </patternFill>
    </fill>
  </fills>
  <borders count="4">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left" vertical="center"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7" fillId="0" borderId="0" xfId="0" applyFont="true" applyBorder="true" applyAlignment="true" applyProtection="true">
      <alignment horizontal="general" vertical="top" textRotation="0" wrapText="true" indent="0" shrinkToFit="false"/>
      <protection locked="true" hidden="false"/>
    </xf>
    <xf numFmtId="164" fontId="8" fillId="3" borderId="0" xfId="0" applyFont="true" applyBorder="true" applyAlignment="true" applyProtection="true">
      <alignment horizontal="left" vertical="center" textRotation="0" wrapText="true" indent="0" shrinkToFit="false"/>
      <protection locked="true" hidden="false"/>
    </xf>
    <xf numFmtId="164" fontId="0" fillId="4" borderId="1" xfId="0" applyFont="true" applyBorder="true" applyAlignment="true" applyProtection="true">
      <alignment horizontal="general" vertical="bottom" textRotation="0" wrapText="false" indent="0" shrinkToFit="false"/>
      <protection locked="true" hidden="false"/>
    </xf>
    <xf numFmtId="164" fontId="0" fillId="5" borderId="1" xfId="0" applyFont="true" applyBorder="true" applyAlignment="true" applyProtection="true">
      <alignment horizontal="general" vertical="bottom" textRotation="0" wrapText="false" indent="0" shrinkToFit="false"/>
      <protection locked="true" hidden="false"/>
    </xf>
    <xf numFmtId="164" fontId="9" fillId="2" borderId="0" xfId="0" applyFont="true" applyBorder="true" applyAlignment="true" applyProtection="true">
      <alignment horizontal="left" vertical="center" textRotation="0" wrapText="true" indent="0" shrinkToFit="false"/>
      <protection locked="true" hidden="false"/>
    </xf>
    <xf numFmtId="164" fontId="10" fillId="0" borderId="0" xfId="0" applyFont="true" applyBorder="false" applyAlignment="true" applyProtection="true">
      <alignment horizontal="left" vertical="center" textRotation="0" wrapText="false" indent="0" shrinkToFit="false"/>
      <protection locked="true" hidden="false"/>
    </xf>
    <xf numFmtId="164" fontId="7" fillId="0" borderId="1" xfId="0" applyFont="true" applyBorder="true" applyAlignment="true" applyProtection="true">
      <alignment horizontal="general" vertical="top" textRotation="0" wrapText="true" indent="0" shrinkToFit="false"/>
      <protection locked="true" hidden="false"/>
    </xf>
    <xf numFmtId="164" fontId="0" fillId="4" borderId="1" xfId="0" applyFont="false" applyBorder="true" applyAlignment="true" applyProtection="true">
      <alignment horizontal="center" vertical="center" textRotation="0" wrapText="false" indent="0" shrinkToFit="false"/>
      <protection locked="true" hidden="false"/>
    </xf>
    <xf numFmtId="164" fontId="8" fillId="2" borderId="0" xfId="0" applyFont="true" applyBorder="true" applyAlignment="true" applyProtection="true">
      <alignment horizontal="left" vertical="center" textRotation="0" wrapText="tru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0" fillId="5" borderId="1" xfId="0" applyFont="true" applyBorder="tru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5" borderId="1" xfId="0" applyFont="true" applyBorder="true" applyAlignment="true" applyProtection="true">
      <alignment horizontal="general" vertical="top" textRotation="0" wrapText="true" indent="0" shrinkToFit="false"/>
      <protection locked="true" hidden="false"/>
    </xf>
    <xf numFmtId="164" fontId="12" fillId="0" borderId="0" xfId="0" applyFont="true" applyBorder="true" applyAlignment="true" applyProtection="true">
      <alignment horizontal="general" vertical="top" textRotation="0" wrapText="true" indent="0" shrinkToFit="false"/>
      <protection locked="true" hidden="false"/>
    </xf>
    <xf numFmtId="164" fontId="8" fillId="3" borderId="1" xfId="0" applyFont="true" applyBorder="true" applyAlignment="true" applyProtection="true">
      <alignment horizontal="center" vertical="center" textRotation="0" wrapText="true" indent="0" shrinkToFit="false"/>
      <protection locked="true" hidden="false"/>
    </xf>
    <xf numFmtId="164" fontId="7" fillId="0" borderId="1" xfId="0" applyFont="true" applyBorder="true" applyAlignment="true" applyProtection="true">
      <alignment horizontal="center" vertical="center" textRotation="0" wrapText="false" indent="0" shrinkToFit="false"/>
      <protection locked="true" hidden="false"/>
    </xf>
    <xf numFmtId="164" fontId="13" fillId="6" borderId="1" xfId="0" applyFont="true" applyBorder="true" applyAlignment="true" applyProtection="true">
      <alignment horizontal="center" vertical="center" textRotation="0" wrapText="true" indent="0" shrinkToFit="false"/>
      <protection locked="true" hidden="false"/>
    </xf>
    <xf numFmtId="164" fontId="0" fillId="4" borderId="1" xfId="0" applyFont="false" applyBorder="true" applyAlignment="true" applyProtection="true">
      <alignment horizontal="general" vertical="top" textRotation="0" wrapText="true" indent="0" shrinkToFit="false"/>
      <protection locked="true" hidden="false"/>
    </xf>
    <xf numFmtId="164" fontId="14" fillId="0" borderId="1" xfId="0" applyFont="true" applyBorder="true" applyAlignment="true" applyProtection="true">
      <alignment horizontal="center" vertical="center" textRotation="0" wrapText="true" indent="0" shrinkToFit="false"/>
      <protection locked="true" hidden="false"/>
    </xf>
    <xf numFmtId="164" fontId="10" fillId="0" borderId="0" xfId="0" applyFont="true" applyBorder="true" applyAlignment="true" applyProtection="true">
      <alignment horizontal="general" vertical="bottom" textRotation="0" wrapText="false" indent="0" shrinkToFit="false"/>
      <protection locked="true" hidden="false"/>
    </xf>
    <xf numFmtId="165" fontId="10" fillId="5" borderId="1" xfId="0" applyFont="true" applyBorder="true" applyAlignment="true" applyProtection="true">
      <alignment horizontal="center" vertical="center" textRotation="0" wrapText="false" indent="0" shrinkToFit="false"/>
      <protection locked="true" hidden="false"/>
    </xf>
    <xf numFmtId="164" fontId="15" fillId="5" borderId="2" xfId="0" applyFont="true" applyBorder="true" applyAlignment="true" applyProtection="true">
      <alignment horizontal="left" vertical="center" textRotation="0" wrapText="false" indent="0" shrinkToFit="false"/>
      <protection locked="true" hidden="false"/>
    </xf>
    <xf numFmtId="164" fontId="0" fillId="4" borderId="2" xfId="0" applyFont="false" applyBorder="true" applyAlignment="true" applyProtection="true">
      <alignment horizontal="general" vertical="bottom" textRotation="0" wrapText="false" indent="0" shrinkToFit="false"/>
      <protection locked="true" hidden="false"/>
    </xf>
    <xf numFmtId="164" fontId="6" fillId="6" borderId="1" xfId="0" applyFont="true" applyBorder="true" applyAlignment="true" applyProtection="true">
      <alignment horizontal="general" vertical="top" textRotation="0" wrapText="true" indent="0" shrinkToFit="false"/>
      <protection locked="true" hidden="false"/>
    </xf>
    <xf numFmtId="164" fontId="14" fillId="0" borderId="1" xfId="0" applyFont="true" applyBorder="true" applyAlignment="true" applyProtection="true">
      <alignment horizontal="general" vertical="top" textRotation="0" wrapText="tru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5" fontId="7" fillId="5" borderId="2" xfId="0" applyFont="true" applyBorder="true" applyAlignment="true" applyProtection="true">
      <alignment horizontal="general" vertical="top" textRotation="0" wrapText="true" indent="0" shrinkToFit="false"/>
      <protection locked="true" hidden="false"/>
    </xf>
    <xf numFmtId="164" fontId="10" fillId="5" borderId="2" xfId="0" applyFont="true" applyBorder="true" applyAlignment="true" applyProtection="true">
      <alignment horizontal="general" vertical="top" textRotation="0" wrapText="true" indent="0" shrinkToFit="false"/>
      <protection locked="true" hidden="false"/>
    </xf>
    <xf numFmtId="164" fontId="0" fillId="4" borderId="3" xfId="0" applyFont="false" applyBorder="true" applyAlignment="true" applyProtection="true">
      <alignment horizontal="general" vertical="top" textRotation="0" wrapText="true" indent="0" shrinkToFit="false"/>
      <protection locked="true" hidden="false"/>
    </xf>
    <xf numFmtId="164" fontId="16" fillId="3" borderId="1" xfId="0" applyFont="true" applyBorder="true" applyAlignment="true" applyProtection="true">
      <alignment horizontal="center" vertical="center" textRotation="0" wrapText="true" indent="0" shrinkToFit="false"/>
      <protection locked="true" hidden="false"/>
    </xf>
    <xf numFmtId="164" fontId="17" fillId="0" borderId="1" xfId="0" applyFont="true" applyBorder="true" applyAlignment="true" applyProtection="true">
      <alignment horizontal="general" vertical="top" textRotation="0" wrapText="true" indent="0" shrinkToFit="false"/>
      <protection locked="true" hidden="false"/>
    </xf>
    <xf numFmtId="166" fontId="17" fillId="0" borderId="1" xfId="0" applyFont="true" applyBorder="true" applyAlignment="true" applyProtection="true">
      <alignment horizontal="general" vertical="top" textRotation="0" wrapText="true" indent="0" shrinkToFit="false"/>
      <protection locked="true" hidden="false"/>
    </xf>
    <xf numFmtId="166" fontId="14" fillId="0" borderId="1"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3" min="2" style="1" width="30"/>
    <col collapsed="false" customWidth="true" hidden="false" outlineLevel="0" max="4" min="4" style="1" width="22"/>
    <col collapsed="false" customWidth="true" hidden="false" outlineLevel="0" max="6" min="5" style="1" width="18"/>
  </cols>
  <sheetData>
    <row r="1" customFormat="false" ht="25.5" hidden="false" customHeight="true" outlineLevel="0" collapsed="false">
      <c r="A1" s="2" t="s">
        <v>0</v>
      </c>
      <c r="B1" s="2"/>
      <c r="C1" s="2"/>
      <c r="D1" s="2"/>
      <c r="E1" s="2"/>
      <c r="F1" s="2"/>
    </row>
    <row r="2" customFormat="false" ht="15" hidden="false" customHeight="false" outlineLevel="0" collapsed="false">
      <c r="B2" s="3" t="s">
        <v>1</v>
      </c>
    </row>
    <row r="3" customFormat="false" ht="21.75" hidden="false" customHeight="true" outlineLevel="0" collapsed="false">
      <c r="B3" s="4"/>
      <c r="C3" s="5"/>
      <c r="D3" s="5"/>
      <c r="E3" s="5"/>
      <c r="F3" s="5"/>
    </row>
    <row r="4" customFormat="false" ht="30" hidden="false" customHeight="true" outlineLevel="0" collapsed="false">
      <c r="B4" s="4" t="s">
        <v>2</v>
      </c>
      <c r="C4" s="5" t="s">
        <v>3</v>
      </c>
      <c r="D4" s="5"/>
      <c r="E4" s="5"/>
      <c r="F4" s="5"/>
    </row>
    <row r="5" customFormat="false" ht="18" hidden="false" customHeight="true" outlineLevel="0" collapsed="false">
      <c r="A5" s="6" t="s">
        <v>4</v>
      </c>
      <c r="B5" s="6"/>
      <c r="C5" s="6"/>
      <c r="D5" s="6"/>
      <c r="E5" s="6"/>
      <c r="F5" s="6"/>
    </row>
    <row r="6" customFormat="false" ht="30" hidden="false" customHeight="true" outlineLevel="0" collapsed="false">
      <c r="B6" s="4" t="s">
        <v>5</v>
      </c>
      <c r="C6" s="5" t="s">
        <v>6</v>
      </c>
      <c r="D6" s="5"/>
      <c r="E6" s="5"/>
      <c r="F6" s="5"/>
    </row>
    <row r="7" customFormat="false" ht="30" hidden="false" customHeight="true" outlineLevel="0" collapsed="false">
      <c r="B7" s="4" t="s">
        <v>7</v>
      </c>
      <c r="C7" s="5" t="s">
        <v>8</v>
      </c>
      <c r="D7" s="5"/>
      <c r="E7" s="5"/>
      <c r="F7" s="5"/>
    </row>
    <row r="8" customFormat="false" ht="30" hidden="false" customHeight="true" outlineLevel="0" collapsed="false">
      <c r="B8" s="4" t="s">
        <v>9</v>
      </c>
      <c r="C8" s="5" t="s">
        <v>10</v>
      </c>
      <c r="D8" s="5"/>
      <c r="E8" s="5"/>
      <c r="F8" s="5"/>
    </row>
    <row r="9" customFormat="false" ht="30" hidden="false" customHeight="true" outlineLevel="0" collapsed="false">
      <c r="B9" s="4" t="s">
        <v>11</v>
      </c>
      <c r="C9" s="5" t="s">
        <v>12</v>
      </c>
      <c r="D9" s="5"/>
      <c r="E9" s="5"/>
      <c r="F9" s="5"/>
    </row>
    <row r="10" customFormat="false" ht="30" hidden="false" customHeight="true" outlineLevel="0" collapsed="false">
      <c r="B10" s="4" t="s">
        <v>13</v>
      </c>
      <c r="C10" s="5" t="s">
        <v>14</v>
      </c>
      <c r="D10" s="5"/>
      <c r="E10" s="5"/>
      <c r="F10" s="5"/>
    </row>
    <row r="11" customFormat="false" ht="30" hidden="false" customHeight="true" outlineLevel="0" collapsed="false">
      <c r="B11" s="4" t="s">
        <v>15</v>
      </c>
      <c r="C11" s="5" t="s">
        <v>16</v>
      </c>
      <c r="D11" s="5"/>
      <c r="E11" s="5"/>
      <c r="F11" s="5"/>
    </row>
    <row r="12" customFormat="false" ht="30" hidden="false" customHeight="true" outlineLevel="0" collapsed="false">
      <c r="B12" s="4" t="s">
        <v>17</v>
      </c>
      <c r="C12" s="5" t="s">
        <v>18</v>
      </c>
      <c r="D12" s="5"/>
      <c r="E12" s="5"/>
      <c r="F12" s="5"/>
    </row>
    <row r="13" customFormat="false" ht="21.75" hidden="false" customHeight="true" outlineLevel="0" collapsed="false">
      <c r="B13" s="4" t="s">
        <v>19</v>
      </c>
      <c r="C13" s="5" t="s">
        <v>20</v>
      </c>
      <c r="D13" s="5"/>
      <c r="E13" s="5"/>
      <c r="F13" s="5"/>
    </row>
    <row r="15" customFormat="false" ht="15" hidden="false" customHeight="false" outlineLevel="0" collapsed="false">
      <c r="B15" s="7" t="s">
        <v>21</v>
      </c>
      <c r="C15" s="8" t="s">
        <v>22</v>
      </c>
    </row>
  </sheetData>
  <mergeCells count="12">
    <mergeCell ref="A1:F1"/>
    <mergeCell ref="C3:F3"/>
    <mergeCell ref="C4:F4"/>
    <mergeCell ref="A5:F5"/>
    <mergeCell ref="C6:F6"/>
    <mergeCell ref="C7:F7"/>
    <mergeCell ref="C8:F8"/>
    <mergeCell ref="C9:F9"/>
    <mergeCell ref="C10:F10"/>
    <mergeCell ref="C11:F11"/>
    <mergeCell ref="C12:F12"/>
    <mergeCell ref="C13:F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64"/>
    <col collapsed="false" customWidth="true" hidden="false" outlineLevel="0" max="3" min="3" style="1" width="16"/>
    <col collapsed="false" customWidth="true" hidden="false" outlineLevel="0" max="5" min="4" style="1" width="3"/>
  </cols>
  <sheetData>
    <row r="1" customFormat="false" ht="25.5" hidden="false" customHeight="true" outlineLevel="0" collapsed="false">
      <c r="A1" s="9" t="s">
        <v>23</v>
      </c>
      <c r="B1" s="9"/>
      <c r="C1" s="9"/>
      <c r="D1" s="9"/>
      <c r="E1" s="9"/>
    </row>
    <row r="2" customFormat="false" ht="15" hidden="false" customHeight="false" outlineLevel="0" collapsed="false">
      <c r="B2" s="3" t="s">
        <v>24</v>
      </c>
    </row>
    <row r="3" customFormat="false" ht="15" hidden="false" customHeight="false" outlineLevel="0" collapsed="false">
      <c r="B3" s="10" t="s">
        <v>25</v>
      </c>
      <c r="C3" s="7"/>
    </row>
    <row r="4" customFormat="false" ht="15" hidden="false" customHeight="false" outlineLevel="0" collapsed="false">
      <c r="B4" s="10" t="s">
        <v>26</v>
      </c>
      <c r="C4" s="7"/>
    </row>
    <row r="5" customFormat="false" ht="15" hidden="false" customHeight="false" outlineLevel="0" collapsed="false">
      <c r="B5" s="10" t="s">
        <v>27</v>
      </c>
      <c r="C5" s="7"/>
    </row>
    <row r="6" customFormat="false" ht="15" hidden="false" customHeight="false" outlineLevel="0" collapsed="false">
      <c r="B6" s="10" t="s">
        <v>28</v>
      </c>
      <c r="C6" s="7"/>
    </row>
    <row r="7" customFormat="false" ht="15" hidden="false" customHeight="false" outlineLevel="0" collapsed="false">
      <c r="B7" s="10" t="s">
        <v>29</v>
      </c>
      <c r="C7" s="7"/>
    </row>
    <row r="9" customFormat="false" ht="15" hidden="false" customHeight="true" outlineLevel="0" collapsed="false">
      <c r="A9" s="6" t="s">
        <v>30</v>
      </c>
      <c r="B9" s="6"/>
      <c r="C9" s="6"/>
    </row>
    <row r="10" customFormat="false" ht="33.75" hidden="false" customHeight="true" outlineLevel="0" collapsed="false">
      <c r="B10" s="11" t="s">
        <v>31</v>
      </c>
      <c r="C10" s="12"/>
    </row>
    <row r="11" customFormat="false" ht="33.75" hidden="false" customHeight="true" outlineLevel="0" collapsed="false">
      <c r="B11" s="11" t="s">
        <v>32</v>
      </c>
      <c r="C11" s="12"/>
    </row>
    <row r="12" customFormat="false" ht="33.75" hidden="false" customHeight="true" outlineLevel="0" collapsed="false">
      <c r="B12" s="11" t="s">
        <v>33</v>
      </c>
      <c r="C12" s="12"/>
    </row>
    <row r="13" customFormat="false" ht="33.75" hidden="false" customHeight="true" outlineLevel="0" collapsed="false">
      <c r="B13" s="11" t="s">
        <v>34</v>
      </c>
      <c r="C13" s="12"/>
    </row>
    <row r="14" customFormat="false" ht="33.75" hidden="false" customHeight="true" outlineLevel="0" collapsed="false">
      <c r="B14" s="11" t="s">
        <v>35</v>
      </c>
      <c r="C14" s="12"/>
    </row>
    <row r="15" customFormat="false" ht="33.75" hidden="false" customHeight="true" outlineLevel="0" collapsed="false">
      <c r="B15" s="11" t="s">
        <v>36</v>
      </c>
      <c r="C15" s="12"/>
    </row>
    <row r="16" customFormat="false" ht="33.75" hidden="false" customHeight="true" outlineLevel="0" collapsed="false">
      <c r="B16" s="11" t="s">
        <v>37</v>
      </c>
      <c r="C16" s="12"/>
    </row>
    <row r="17" customFormat="false" ht="33.75" hidden="false" customHeight="true" outlineLevel="0" collapsed="false">
      <c r="B17" s="11" t="s">
        <v>38</v>
      </c>
      <c r="C17" s="12"/>
    </row>
    <row r="19" customFormat="false" ht="15" hidden="false" customHeight="true" outlineLevel="0" collapsed="false">
      <c r="A19" s="13" t="s">
        <v>39</v>
      </c>
      <c r="B19" s="13"/>
      <c r="C19" s="13"/>
    </row>
    <row r="20" customFormat="false" ht="43.5" hidden="false" customHeight="true" outlineLevel="0" collapsed="false">
      <c r="B20" s="14" t="s">
        <v>40</v>
      </c>
      <c r="C20" s="15" t="str">
        <f aca="false">IF(C10="Yes","SELF-DECLARATION (Form DREC-02) — register with Member Secretary &amp; proceed",IF(OR(C12="Yes",C13="Yes",C14="Yes",C15="Yes",C16="Yes"),"FULL BOARD REVIEW — convene quorum incl. External Member (4-6 weeks)",IF(OR(C17="Yes",C11="Yes"),"EXPEDITED REVIEW — Chairperson + 2 faculty (2-3 weeks)","Answer the questions above to compute the pathway")))</f>
        <v>Answer the questions above to compute the pathway</v>
      </c>
    </row>
    <row r="21" customFormat="false" ht="15" hidden="false" customHeight="false" outlineLevel="0" collapsed="false">
      <c r="B21" s="16" t="s">
        <v>41</v>
      </c>
      <c r="C21" s="17" t="str">
        <f aca="false">IF(C16="Yes","ELEVATED — enhanced safeguards required","Minimal / standard")</f>
        <v>Minimal / standard</v>
      </c>
    </row>
    <row r="23" customFormat="false" ht="60" hidden="false" customHeight="true" outlineLevel="0" collapsed="false">
      <c r="B23" s="18" t="s">
        <v>42</v>
      </c>
      <c r="C23" s="18"/>
    </row>
  </sheetData>
  <mergeCells count="4">
    <mergeCell ref="A1:E1"/>
    <mergeCell ref="A9:C9"/>
    <mergeCell ref="A19:C19"/>
    <mergeCell ref="B23:C23"/>
  </mergeCells>
  <dataValidations count="1">
    <dataValidation allowBlank="true" errorStyle="stop" operator="between" showDropDown="false" showErrorMessage="false" showInputMessage="false" sqref="C10:C17"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5"/>
    <col collapsed="false" customWidth="true" hidden="false" outlineLevel="0" max="3" min="3" style="1" width="46"/>
    <col collapsed="false" customWidth="true" hidden="false" outlineLevel="0" max="4" min="4" style="1" width="16"/>
    <col collapsed="false" customWidth="true" hidden="false" outlineLevel="0" max="5" min="5" style="1" width="12"/>
    <col collapsed="false" customWidth="true" hidden="false" outlineLevel="0" max="6" min="6" style="1" width="26"/>
  </cols>
  <sheetData>
    <row r="1" customFormat="false" ht="25.5" hidden="false" customHeight="true" outlineLevel="0" collapsed="false">
      <c r="A1" s="9" t="s">
        <v>43</v>
      </c>
      <c r="B1" s="9"/>
      <c r="C1" s="9"/>
      <c r="D1" s="9"/>
      <c r="E1" s="9"/>
      <c r="F1" s="9"/>
    </row>
    <row r="2" customFormat="false" ht="15" hidden="false" customHeight="false" outlineLevel="0" collapsed="false">
      <c r="B2" s="3" t="s">
        <v>44</v>
      </c>
    </row>
    <row r="3" customFormat="false" ht="15" hidden="false" customHeight="false" outlineLevel="0" collapsed="false">
      <c r="B3" s="19" t="s">
        <v>45</v>
      </c>
      <c r="C3" s="19" t="s">
        <v>46</v>
      </c>
      <c r="D3" s="19" t="s">
        <v>47</v>
      </c>
      <c r="E3" s="19" t="s">
        <v>48</v>
      </c>
      <c r="F3" s="19" t="s">
        <v>49</v>
      </c>
    </row>
    <row r="4" customFormat="false" ht="25.5" hidden="false" customHeight="true" outlineLevel="0" collapsed="false">
      <c r="B4" s="20" t="s">
        <v>50</v>
      </c>
      <c r="C4" s="11" t="s">
        <v>51</v>
      </c>
      <c r="D4" s="21" t="s">
        <v>52</v>
      </c>
      <c r="E4" s="12"/>
      <c r="F4" s="22"/>
    </row>
    <row r="5" customFormat="false" ht="25.5" hidden="false" customHeight="true" outlineLevel="0" collapsed="false">
      <c r="B5" s="20" t="s">
        <v>53</v>
      </c>
      <c r="C5" s="11" t="s">
        <v>54</v>
      </c>
      <c r="D5" s="21" t="s">
        <v>52</v>
      </c>
      <c r="E5" s="12"/>
      <c r="F5" s="22"/>
    </row>
    <row r="6" customFormat="false" ht="25.5" hidden="false" customHeight="true" outlineLevel="0" collapsed="false">
      <c r="B6" s="20" t="s">
        <v>55</v>
      </c>
      <c r="C6" s="11" t="s">
        <v>56</v>
      </c>
      <c r="D6" s="21" t="s">
        <v>52</v>
      </c>
      <c r="E6" s="12"/>
      <c r="F6" s="22"/>
    </row>
    <row r="7" customFormat="false" ht="25.5" hidden="false" customHeight="true" outlineLevel="0" collapsed="false">
      <c r="B7" s="20" t="s">
        <v>57</v>
      </c>
      <c r="C7" s="11" t="s">
        <v>58</v>
      </c>
      <c r="D7" s="23" t="s">
        <v>59</v>
      </c>
      <c r="E7" s="12"/>
      <c r="F7" s="22"/>
    </row>
    <row r="8" customFormat="false" ht="25.5" hidden="false" customHeight="true" outlineLevel="0" collapsed="false">
      <c r="B8" s="20" t="s">
        <v>60</v>
      </c>
      <c r="C8" s="11" t="s">
        <v>61</v>
      </c>
      <c r="D8" s="23" t="s">
        <v>62</v>
      </c>
      <c r="E8" s="12"/>
      <c r="F8" s="22"/>
    </row>
    <row r="9" customFormat="false" ht="25.5" hidden="false" customHeight="true" outlineLevel="0" collapsed="false">
      <c r="B9" s="20" t="s">
        <v>63</v>
      </c>
      <c r="C9" s="11" t="s">
        <v>64</v>
      </c>
      <c r="D9" s="23" t="s">
        <v>62</v>
      </c>
      <c r="E9" s="12"/>
      <c r="F9" s="22"/>
    </row>
    <row r="10" customFormat="false" ht="25.5" hidden="false" customHeight="true" outlineLevel="0" collapsed="false">
      <c r="B10" s="20" t="s">
        <v>65</v>
      </c>
      <c r="C10" s="11" t="s">
        <v>66</v>
      </c>
      <c r="D10" s="23" t="s">
        <v>67</v>
      </c>
      <c r="E10" s="12"/>
      <c r="F10" s="22"/>
    </row>
    <row r="11" customFormat="false" ht="25.5" hidden="false" customHeight="true" outlineLevel="0" collapsed="false">
      <c r="B11" s="20" t="s">
        <v>68</v>
      </c>
      <c r="C11" s="11" t="s">
        <v>69</v>
      </c>
      <c r="D11" s="21" t="s">
        <v>52</v>
      </c>
      <c r="E11" s="12"/>
      <c r="F11" s="22"/>
    </row>
    <row r="12" customFormat="false" ht="25.5" hidden="false" customHeight="true" outlineLevel="0" collapsed="false">
      <c r="B12" s="20" t="s">
        <v>70</v>
      </c>
      <c r="C12" s="11" t="s">
        <v>71</v>
      </c>
      <c r="D12" s="21" t="s">
        <v>52</v>
      </c>
      <c r="E12" s="12"/>
      <c r="F12" s="22"/>
    </row>
    <row r="13" customFormat="false" ht="25.5" hidden="false" customHeight="true" outlineLevel="0" collapsed="false">
      <c r="B13" s="20" t="s">
        <v>72</v>
      </c>
      <c r="C13" s="11" t="s">
        <v>73</v>
      </c>
      <c r="D13" s="21" t="s">
        <v>52</v>
      </c>
      <c r="E13" s="12"/>
      <c r="F13" s="22"/>
    </row>
    <row r="14" customFormat="false" ht="25.5" hidden="false" customHeight="true" outlineLevel="0" collapsed="false">
      <c r="B14" s="20" t="s">
        <v>74</v>
      </c>
      <c r="C14" s="11" t="s">
        <v>75</v>
      </c>
      <c r="D14" s="21" t="s">
        <v>52</v>
      </c>
      <c r="E14" s="12"/>
      <c r="F14" s="22"/>
    </row>
    <row r="15" customFormat="false" ht="25.5" hidden="false" customHeight="true" outlineLevel="0" collapsed="false">
      <c r="B15" s="20" t="s">
        <v>76</v>
      </c>
      <c r="C15" s="11" t="s">
        <v>77</v>
      </c>
      <c r="D15" s="21" t="s">
        <v>52</v>
      </c>
      <c r="E15" s="12"/>
      <c r="F15" s="22"/>
    </row>
    <row r="17" customFormat="false" ht="15" hidden="false" customHeight="true" outlineLevel="0" collapsed="false">
      <c r="A17" s="13" t="s">
        <v>78</v>
      </c>
      <c r="B17" s="13"/>
      <c r="C17" s="13"/>
      <c r="D17" s="13"/>
      <c r="E17" s="13"/>
      <c r="F17" s="13"/>
    </row>
    <row r="18" customFormat="false" ht="15" hidden="false" customHeight="false" outlineLevel="0" collapsed="false">
      <c r="B18" s="24" t="s">
        <v>79</v>
      </c>
      <c r="C18" s="24"/>
      <c r="D18" s="25" t="n">
        <f aca="false">IF($E$4&lt;&gt;"Yes",1,0)+IF($E$5&lt;&gt;"Yes",1,0)+IF($E$6&lt;&gt;"Yes",1,0)+IF($E$11&lt;&gt;"Yes",1,0)+IF($E$12&lt;&gt;"Yes",1,0)+IF($E$13&lt;&gt;"Yes",1,0)+IF($E$14&lt;&gt;"Yes",1,0)+IF($E$15&lt;&gt;"Yes",1,0)</f>
        <v>8</v>
      </c>
    </row>
    <row r="19" customFormat="false" ht="21.75" hidden="false" customHeight="true" outlineLevel="0" collapsed="false">
      <c r="B19" s="14" t="s">
        <v>80</v>
      </c>
      <c r="C19" s="26" t="str">
        <f aca="false">IF($D$18=0,"COMPLETE — proceed to review","INCOMPLETE — return to scholar; do not review")</f>
        <v>INCOMPLETE — return to scholar; do not review</v>
      </c>
      <c r="D19" s="26"/>
      <c r="E19" s="26"/>
      <c r="F19" s="26"/>
    </row>
  </sheetData>
  <mergeCells count="4">
    <mergeCell ref="A1:F1"/>
    <mergeCell ref="A17:F17"/>
    <mergeCell ref="B18:C18"/>
    <mergeCell ref="C19:F19"/>
  </mergeCells>
  <dataValidations count="1">
    <dataValidation allowBlank="true" errorStyle="stop" operator="between" showDropDown="false" showErrorMessage="false" showInputMessage="false" sqref="E4:E15" type="list">
      <formula1>"Yes,No,N/A"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3" min="3" style="1" width="52"/>
    <col collapsed="false" customWidth="true" hidden="false" outlineLevel="0" max="4" min="4" style="1" width="18"/>
    <col collapsed="false" customWidth="true" hidden="false" outlineLevel="0" max="5" min="5" style="1" width="30"/>
  </cols>
  <sheetData>
    <row r="1" customFormat="false" ht="25.5" hidden="false" customHeight="true" outlineLevel="0" collapsed="false">
      <c r="A1" s="9" t="s">
        <v>81</v>
      </c>
      <c r="B1" s="9"/>
      <c r="C1" s="9"/>
      <c r="D1" s="9"/>
      <c r="E1" s="9"/>
    </row>
    <row r="2" customFormat="false" ht="15" hidden="false" customHeight="false" outlineLevel="0" collapsed="false">
      <c r="B2" s="3" t="s">
        <v>82</v>
      </c>
    </row>
    <row r="3" customFormat="false" ht="15" hidden="false" customHeight="false" outlineLevel="0" collapsed="false">
      <c r="B3" s="10" t="s">
        <v>83</v>
      </c>
      <c r="C3" s="27"/>
      <c r="D3" s="27"/>
      <c r="E3" s="27"/>
    </row>
    <row r="4" customFormat="false" ht="15" hidden="false" customHeight="false" outlineLevel="0" collapsed="false">
      <c r="B4" s="10" t="s">
        <v>84</v>
      </c>
      <c r="C4" s="27"/>
      <c r="D4" s="27"/>
      <c r="E4" s="27"/>
    </row>
    <row r="5" customFormat="false" ht="15" hidden="false" customHeight="false" outlineLevel="0" collapsed="false">
      <c r="B5" s="10" t="s">
        <v>85</v>
      </c>
      <c r="C5" s="27"/>
      <c r="D5" s="27"/>
      <c r="E5" s="27"/>
    </row>
    <row r="6" customFormat="false" ht="15" hidden="false" customHeight="false" outlineLevel="0" collapsed="false">
      <c r="B6" s="10" t="s">
        <v>29</v>
      </c>
      <c r="C6" s="27"/>
      <c r="D6" s="27"/>
      <c r="E6" s="27"/>
    </row>
    <row r="8" customFormat="false" ht="15" hidden="false" customHeight="false" outlineLevel="0" collapsed="false">
      <c r="B8" s="19" t="s">
        <v>86</v>
      </c>
      <c r="C8" s="19" t="s">
        <v>87</v>
      </c>
      <c r="D8" s="19" t="s">
        <v>88</v>
      </c>
      <c r="E8" s="19" t="s">
        <v>89</v>
      </c>
    </row>
    <row r="9" customFormat="false" ht="42" hidden="false" customHeight="true" outlineLevel="0" collapsed="false">
      <c r="B9" s="28" t="s">
        <v>90</v>
      </c>
      <c r="C9" s="29" t="s">
        <v>91</v>
      </c>
      <c r="D9" s="12"/>
      <c r="E9" s="22"/>
    </row>
    <row r="10" customFormat="false" ht="42" hidden="false" customHeight="true" outlineLevel="0" collapsed="false">
      <c r="B10" s="28" t="s">
        <v>92</v>
      </c>
      <c r="C10" s="29" t="s">
        <v>93</v>
      </c>
      <c r="D10" s="12"/>
      <c r="E10" s="22"/>
    </row>
    <row r="11" customFormat="false" ht="42" hidden="false" customHeight="true" outlineLevel="0" collapsed="false">
      <c r="B11" s="28" t="s">
        <v>94</v>
      </c>
      <c r="C11" s="29" t="s">
        <v>95</v>
      </c>
      <c r="D11" s="12"/>
      <c r="E11" s="22"/>
    </row>
    <row r="12" customFormat="false" ht="42" hidden="false" customHeight="true" outlineLevel="0" collapsed="false">
      <c r="B12" s="28" t="s">
        <v>96</v>
      </c>
      <c r="C12" s="29" t="s">
        <v>97</v>
      </c>
      <c r="D12" s="12"/>
      <c r="E12" s="22"/>
    </row>
    <row r="13" customFormat="false" ht="42" hidden="false" customHeight="true" outlineLevel="0" collapsed="false">
      <c r="B13" s="28" t="s">
        <v>98</v>
      </c>
      <c r="C13" s="29" t="s">
        <v>99</v>
      </c>
      <c r="D13" s="12"/>
      <c r="E13" s="22"/>
    </row>
    <row r="14" customFormat="false" ht="42" hidden="false" customHeight="true" outlineLevel="0" collapsed="false">
      <c r="B14" s="28" t="s">
        <v>100</v>
      </c>
      <c r="C14" s="29" t="s">
        <v>101</v>
      </c>
      <c r="D14" s="12"/>
      <c r="E14" s="22"/>
    </row>
    <row r="15" customFormat="false" ht="42" hidden="false" customHeight="true" outlineLevel="0" collapsed="false">
      <c r="B15" s="28" t="s">
        <v>102</v>
      </c>
      <c r="C15" s="29" t="s">
        <v>103</v>
      </c>
      <c r="D15" s="12"/>
      <c r="E15" s="22"/>
    </row>
    <row r="16" customFormat="false" ht="42" hidden="false" customHeight="true" outlineLevel="0" collapsed="false">
      <c r="B16" s="28" t="s">
        <v>104</v>
      </c>
      <c r="C16" s="29" t="s">
        <v>105</v>
      </c>
      <c r="D16" s="12"/>
      <c r="E16" s="22"/>
    </row>
    <row r="17" customFormat="false" ht="42" hidden="false" customHeight="true" outlineLevel="0" collapsed="false">
      <c r="B17" s="28" t="s">
        <v>106</v>
      </c>
      <c r="C17" s="29" t="s">
        <v>107</v>
      </c>
      <c r="D17" s="12"/>
      <c r="E17" s="22"/>
    </row>
    <row r="19" customFormat="false" ht="15" hidden="false" customHeight="true" outlineLevel="0" collapsed="false">
      <c r="A19" s="13" t="s">
        <v>108</v>
      </c>
      <c r="B19" s="13"/>
      <c r="C19" s="13"/>
      <c r="D19" s="13"/>
      <c r="E19" s="13"/>
    </row>
    <row r="20" customFormat="false" ht="21.75" hidden="false" customHeight="true" outlineLevel="0" collapsed="false">
      <c r="B20" s="30" t="s">
        <v>109</v>
      </c>
      <c r="C20" s="31" t="n">
        <f aca="false">COUNTIF(D9:D17,"Not met")</f>
        <v>0</v>
      </c>
      <c r="D20" s="31"/>
      <c r="E20" s="31"/>
    </row>
    <row r="21" customFormat="false" ht="21.75" hidden="false" customHeight="true" outlineLevel="0" collapsed="false">
      <c r="B21" s="30" t="s">
        <v>110</v>
      </c>
      <c r="C21" s="31" t="n">
        <f aca="false">COUNTIF(D9:D17,"Major concern")</f>
        <v>0</v>
      </c>
      <c r="D21" s="31"/>
      <c r="E21" s="31"/>
    </row>
    <row r="22" customFormat="false" ht="21.75" hidden="false" customHeight="true" outlineLevel="0" collapsed="false">
      <c r="B22" s="30" t="s">
        <v>111</v>
      </c>
      <c r="C22" s="31" t="n">
        <f aca="false">COUNTIF(D9:D17,"Minor revision")</f>
        <v>0</v>
      </c>
      <c r="D22" s="31"/>
      <c r="E22" s="31"/>
    </row>
    <row r="23" customFormat="false" ht="21.75" hidden="false" customHeight="true" outlineLevel="0" collapsed="false">
      <c r="B23" s="30" t="s">
        <v>112</v>
      </c>
      <c r="C23" s="31" t="n">
        <f aca="false">COUNTIF(D9:D17,"Met")</f>
        <v>0</v>
      </c>
      <c r="D23" s="31"/>
      <c r="E23" s="31"/>
    </row>
    <row r="24" customFormat="false" ht="39.75" hidden="false" customHeight="true" outlineLevel="0" collapsed="false">
      <c r="B24" s="30" t="s">
        <v>113</v>
      </c>
      <c r="C24" s="32" t="str">
        <f aca="false">IF(COUNTBLANK(D9:D17)&gt;0,"Score all 9 criteria to generate a recommendation",IF(COUNTIF(D9:D17,"Not met")&gt;0,"REVISE &amp; RESUBMIT — or REJECT if a Not-met criterion is irremediable (Chair to confirm)",IF(COUNTIF(D9:D17,"Major concern")&gt;0,"REVISE &amp; RESUBMIT",IF(COUNTIF(D9:D17,"Minor revision")&gt;0,"APPROVED WITH CONDITIONS","APPROVED — issue ECC (valid 24 months)"))))</f>
        <v>Score all 9 criteria to generate a recommendation</v>
      </c>
      <c r="D24" s="32"/>
      <c r="E24" s="32"/>
    </row>
    <row r="26" customFormat="false" ht="15" hidden="false" customHeight="false" outlineLevel="0" collapsed="false">
      <c r="B26" s="16" t="s">
        <v>114</v>
      </c>
    </row>
    <row r="27" customFormat="false" ht="15" hidden="false" customHeight="false" outlineLevel="0" collapsed="false">
      <c r="B27" s="33"/>
      <c r="C27" s="33"/>
      <c r="D27" s="33"/>
      <c r="E27" s="33"/>
    </row>
    <row r="28" customFormat="false" ht="15" hidden="false" customHeight="false" outlineLevel="0" collapsed="false">
      <c r="B28" s="33"/>
      <c r="C28" s="33"/>
      <c r="D28" s="33"/>
      <c r="E28" s="33"/>
    </row>
    <row r="29" customFormat="false" ht="15" hidden="false" customHeight="false" outlineLevel="0" collapsed="false">
      <c r="B29" s="33"/>
      <c r="C29" s="33"/>
      <c r="D29" s="33"/>
      <c r="E29" s="33"/>
    </row>
    <row r="30" customFormat="false" ht="15" hidden="false" customHeight="false" outlineLevel="0" collapsed="false">
      <c r="B30" s="33"/>
      <c r="C30" s="33"/>
      <c r="D30" s="33"/>
      <c r="E30" s="33"/>
    </row>
  </sheetData>
  <mergeCells count="12">
    <mergeCell ref="A1:E1"/>
    <mergeCell ref="C3:E3"/>
    <mergeCell ref="C4:E4"/>
    <mergeCell ref="C5:E5"/>
    <mergeCell ref="C6:E6"/>
    <mergeCell ref="A19:E19"/>
    <mergeCell ref="C20:E20"/>
    <mergeCell ref="C21:E21"/>
    <mergeCell ref="C22:E22"/>
    <mergeCell ref="C23:E23"/>
    <mergeCell ref="C24:E24"/>
    <mergeCell ref="B27:E30"/>
  </mergeCells>
  <dataValidations count="1">
    <dataValidation allowBlank="true" errorStyle="stop" operator="between" showDropDown="false" showErrorMessage="false" showInputMessage="false" sqref="D9:D17" type="list">
      <formula1>"Met,Minor revision,Major concern,Not met,N/A"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0"/>
    <col collapsed="false" customWidth="true" hidden="false" outlineLevel="0" max="3" min="3" style="1" width="12"/>
    <col collapsed="false" customWidth="true" hidden="false" outlineLevel="0" max="4" min="4" style="1" width="22"/>
    <col collapsed="false" customWidth="true" hidden="false" outlineLevel="0" max="6" min="5" style="1" width="14"/>
    <col collapsed="false" customWidth="true" hidden="false" outlineLevel="0" max="7" min="7" style="1" width="12"/>
    <col collapsed="false" customWidth="true" hidden="false" outlineLevel="0" max="8" min="8" style="1" width="24"/>
    <col collapsed="false" customWidth="true" hidden="false" outlineLevel="0" max="9" min="9" style="1" width="14"/>
    <col collapsed="false" customWidth="true" hidden="false" outlineLevel="0" max="11" min="10" style="1" width="12"/>
    <col collapsed="false" customWidth="true" hidden="false" outlineLevel="0" max="12" min="12" style="1" width="10"/>
    <col collapsed="false" customWidth="true" hidden="false" outlineLevel="0" max="13" min="13" style="1" width="14"/>
  </cols>
  <sheetData>
    <row r="1" customFormat="false" ht="25.5" hidden="false" customHeight="true" outlineLevel="0" collapsed="false">
      <c r="A1" s="9" t="s">
        <v>115</v>
      </c>
      <c r="B1" s="9"/>
      <c r="C1" s="9"/>
      <c r="D1" s="9"/>
      <c r="E1" s="9"/>
      <c r="F1" s="9"/>
      <c r="G1" s="9"/>
      <c r="H1" s="9"/>
      <c r="I1" s="9"/>
      <c r="J1" s="9"/>
      <c r="K1" s="9"/>
      <c r="L1" s="9"/>
      <c r="M1" s="9"/>
    </row>
    <row r="2" customFormat="false" ht="15" hidden="false" customHeight="false" outlineLevel="0" collapsed="false">
      <c r="B2" s="3" t="s">
        <v>116</v>
      </c>
    </row>
    <row r="3" customFormat="false" ht="30" hidden="false" customHeight="true" outlineLevel="0" collapsed="false">
      <c r="A3" s="34" t="s">
        <v>117</v>
      </c>
      <c r="B3" s="34" t="s">
        <v>118</v>
      </c>
      <c r="C3" s="34" t="s">
        <v>119</v>
      </c>
      <c r="D3" s="34" t="s">
        <v>120</v>
      </c>
      <c r="E3" s="34" t="s">
        <v>121</v>
      </c>
      <c r="F3" s="34" t="s">
        <v>122</v>
      </c>
      <c r="G3" s="34" t="s">
        <v>123</v>
      </c>
      <c r="H3" s="34" t="s">
        <v>124</v>
      </c>
      <c r="I3" s="34" t="s">
        <v>125</v>
      </c>
      <c r="J3" s="34" t="s">
        <v>126</v>
      </c>
      <c r="K3" s="34" t="s">
        <v>127</v>
      </c>
      <c r="L3" s="34" t="s">
        <v>128</v>
      </c>
      <c r="M3" s="34" t="s">
        <v>129</v>
      </c>
    </row>
    <row r="4" customFormat="false" ht="116.4" hidden="false" customHeight="false" outlineLevel="0" collapsed="false">
      <c r="A4" s="35" t="s">
        <v>130</v>
      </c>
      <c r="B4" s="35" t="s">
        <v>131</v>
      </c>
      <c r="C4" s="35" t="s">
        <v>132</v>
      </c>
      <c r="D4" s="35" t="s">
        <v>133</v>
      </c>
      <c r="E4" s="35" t="s">
        <v>134</v>
      </c>
      <c r="F4" s="35" t="s">
        <v>131</v>
      </c>
      <c r="G4" s="35" t="s">
        <v>135</v>
      </c>
      <c r="H4" s="35" t="s">
        <v>136</v>
      </c>
      <c r="I4" s="35" t="s">
        <v>137</v>
      </c>
      <c r="J4" s="35" t="s">
        <v>131</v>
      </c>
      <c r="K4" s="36" t="n">
        <f aca="false">IF(J4="","",EDATE(J4,24))</f>
        <v>46897</v>
      </c>
      <c r="L4" s="35" t="s">
        <v>138</v>
      </c>
      <c r="M4" s="35" t="s">
        <v>139</v>
      </c>
    </row>
    <row r="5" customFormat="false" ht="15" hidden="false" customHeight="false" outlineLevel="0" collapsed="false">
      <c r="A5" s="29"/>
      <c r="B5" s="29"/>
      <c r="C5" s="29"/>
      <c r="D5" s="29"/>
      <c r="E5" s="29"/>
      <c r="F5" s="29"/>
      <c r="G5" s="29"/>
      <c r="H5" s="29"/>
      <c r="I5" s="29"/>
      <c r="J5" s="29"/>
      <c r="K5" s="37" t="str">
        <f aca="false">IF(J5="","",EDATE(J5,24))</f>
        <v/>
      </c>
      <c r="L5" s="29"/>
      <c r="M5" s="29"/>
    </row>
    <row r="6" customFormat="false" ht="15" hidden="false" customHeight="false" outlineLevel="0" collapsed="false">
      <c r="A6" s="29"/>
      <c r="B6" s="29"/>
      <c r="C6" s="29"/>
      <c r="D6" s="29"/>
      <c r="E6" s="29"/>
      <c r="F6" s="29"/>
      <c r="G6" s="29"/>
      <c r="H6" s="29"/>
      <c r="I6" s="29"/>
      <c r="J6" s="29"/>
      <c r="K6" s="37" t="str">
        <f aca="false">IF(J6="","",EDATE(J6,24))</f>
        <v/>
      </c>
      <c r="L6" s="29"/>
      <c r="M6" s="29"/>
    </row>
    <row r="7" customFormat="false" ht="15" hidden="false" customHeight="false" outlineLevel="0" collapsed="false">
      <c r="A7" s="29"/>
      <c r="B7" s="29"/>
      <c r="C7" s="29"/>
      <c r="D7" s="29"/>
      <c r="E7" s="29"/>
      <c r="F7" s="29"/>
      <c r="G7" s="29"/>
      <c r="H7" s="29"/>
      <c r="I7" s="29"/>
      <c r="J7" s="29"/>
      <c r="K7" s="37" t="str">
        <f aca="false">IF(J7="","",EDATE(J7,24))</f>
        <v/>
      </c>
      <c r="L7" s="29"/>
      <c r="M7" s="29"/>
    </row>
    <row r="8" customFormat="false" ht="15" hidden="false" customHeight="false" outlineLevel="0" collapsed="false">
      <c r="A8" s="29"/>
      <c r="B8" s="29"/>
      <c r="C8" s="29"/>
      <c r="D8" s="29"/>
      <c r="E8" s="29"/>
      <c r="F8" s="29"/>
      <c r="G8" s="29"/>
      <c r="H8" s="29"/>
      <c r="I8" s="29"/>
      <c r="J8" s="29"/>
      <c r="K8" s="37" t="str">
        <f aca="false">IF(J8="","",EDATE(J8,24))</f>
        <v/>
      </c>
      <c r="L8" s="29"/>
      <c r="M8" s="29"/>
    </row>
    <row r="9" customFormat="false" ht="15" hidden="false" customHeight="false" outlineLevel="0" collapsed="false">
      <c r="A9" s="29"/>
      <c r="B9" s="29"/>
      <c r="C9" s="29"/>
      <c r="D9" s="29"/>
      <c r="E9" s="29"/>
      <c r="F9" s="29"/>
      <c r="G9" s="29"/>
      <c r="H9" s="29"/>
      <c r="I9" s="29"/>
      <c r="J9" s="29"/>
      <c r="K9" s="37" t="str">
        <f aca="false">IF(J9="","",EDATE(J9,24))</f>
        <v/>
      </c>
      <c r="L9" s="29"/>
      <c r="M9" s="29"/>
    </row>
    <row r="10" customFormat="false" ht="15" hidden="false" customHeight="false" outlineLevel="0" collapsed="false">
      <c r="A10" s="29"/>
      <c r="B10" s="29"/>
      <c r="C10" s="29"/>
      <c r="D10" s="29"/>
      <c r="E10" s="29"/>
      <c r="F10" s="29"/>
      <c r="G10" s="29"/>
      <c r="H10" s="29"/>
      <c r="I10" s="29"/>
      <c r="J10" s="29"/>
      <c r="K10" s="37" t="str">
        <f aca="false">IF(J10="","",EDATE(J10,24))</f>
        <v/>
      </c>
      <c r="L10" s="29"/>
      <c r="M10" s="29"/>
    </row>
    <row r="11" customFormat="false" ht="15" hidden="false" customHeight="false" outlineLevel="0" collapsed="false">
      <c r="A11" s="29"/>
      <c r="B11" s="29"/>
      <c r="C11" s="29"/>
      <c r="D11" s="29"/>
      <c r="E11" s="29"/>
      <c r="F11" s="29"/>
      <c r="G11" s="29"/>
      <c r="H11" s="29"/>
      <c r="I11" s="29"/>
      <c r="J11" s="29"/>
      <c r="K11" s="37" t="str">
        <f aca="false">IF(J11="","",EDATE(J11,24))</f>
        <v/>
      </c>
      <c r="L11" s="29"/>
      <c r="M11" s="29"/>
    </row>
    <row r="12" customFormat="false" ht="15" hidden="false" customHeight="false" outlineLevel="0" collapsed="false">
      <c r="A12" s="29"/>
      <c r="B12" s="29"/>
      <c r="C12" s="29"/>
      <c r="D12" s="29"/>
      <c r="E12" s="29"/>
      <c r="F12" s="29"/>
      <c r="G12" s="29"/>
      <c r="H12" s="29"/>
      <c r="I12" s="29"/>
      <c r="J12" s="29"/>
      <c r="K12" s="37" t="str">
        <f aca="false">IF(J12="","",EDATE(J12,24))</f>
        <v/>
      </c>
      <c r="L12" s="29"/>
      <c r="M12" s="29"/>
    </row>
    <row r="13" customFormat="false" ht="15" hidden="false" customHeight="false" outlineLevel="0" collapsed="false">
      <c r="A13" s="29"/>
      <c r="B13" s="29"/>
      <c r="C13" s="29"/>
      <c r="D13" s="29"/>
      <c r="E13" s="29"/>
      <c r="F13" s="29"/>
      <c r="G13" s="29"/>
      <c r="H13" s="29"/>
      <c r="I13" s="29"/>
      <c r="J13" s="29"/>
      <c r="K13" s="37" t="str">
        <f aca="false">IF(J13="","",EDATE(J13,24))</f>
        <v/>
      </c>
      <c r="L13" s="29"/>
      <c r="M13" s="29"/>
    </row>
    <row r="14" customFormat="false" ht="15" hidden="false" customHeight="false" outlineLevel="0" collapsed="false">
      <c r="A14" s="29"/>
      <c r="B14" s="29"/>
      <c r="C14" s="29"/>
      <c r="D14" s="29"/>
      <c r="E14" s="29"/>
      <c r="F14" s="29"/>
      <c r="G14" s="29"/>
      <c r="H14" s="29"/>
      <c r="I14" s="29"/>
      <c r="J14" s="29"/>
      <c r="K14" s="37" t="str">
        <f aca="false">IF(J14="","",EDATE(J14,24))</f>
        <v/>
      </c>
      <c r="L14" s="29"/>
      <c r="M14" s="29"/>
    </row>
    <row r="15" customFormat="false" ht="15" hidden="false" customHeight="false" outlineLevel="0" collapsed="false">
      <c r="A15" s="29"/>
      <c r="B15" s="29"/>
      <c r="C15" s="29"/>
      <c r="D15" s="29"/>
      <c r="E15" s="29"/>
      <c r="F15" s="29"/>
      <c r="G15" s="29"/>
      <c r="H15" s="29"/>
      <c r="I15" s="29"/>
      <c r="J15" s="29"/>
      <c r="K15" s="37" t="str">
        <f aca="false">IF(J15="","",EDATE(J15,24))</f>
        <v/>
      </c>
      <c r="L15" s="29"/>
      <c r="M15" s="29"/>
    </row>
    <row r="16" customFormat="false" ht="15" hidden="false" customHeight="false" outlineLevel="0" collapsed="false">
      <c r="A16" s="29"/>
      <c r="B16" s="29"/>
      <c r="C16" s="29"/>
      <c r="D16" s="29"/>
      <c r="E16" s="29"/>
      <c r="F16" s="29"/>
      <c r="G16" s="29"/>
      <c r="H16" s="29"/>
      <c r="I16" s="29"/>
      <c r="J16" s="29"/>
      <c r="K16" s="37" t="str">
        <f aca="false">IF(J16="","",EDATE(J16,24))</f>
        <v/>
      </c>
      <c r="L16" s="29"/>
      <c r="M16" s="29"/>
    </row>
    <row r="17" customFormat="false" ht="15" hidden="false" customHeight="false" outlineLevel="0" collapsed="false">
      <c r="A17" s="29"/>
      <c r="B17" s="29"/>
      <c r="C17" s="29"/>
      <c r="D17" s="29"/>
      <c r="E17" s="29"/>
      <c r="F17" s="29"/>
      <c r="G17" s="29"/>
      <c r="H17" s="29"/>
      <c r="I17" s="29"/>
      <c r="J17" s="29"/>
      <c r="K17" s="37" t="str">
        <f aca="false">IF(J17="","",EDATE(J17,24))</f>
        <v/>
      </c>
      <c r="L17" s="29"/>
      <c r="M17" s="29"/>
    </row>
    <row r="18" customFormat="false" ht="15" hidden="false" customHeight="false" outlineLevel="0" collapsed="false">
      <c r="A18" s="29"/>
      <c r="B18" s="29"/>
      <c r="C18" s="29"/>
      <c r="D18" s="29"/>
      <c r="E18" s="29"/>
      <c r="F18" s="29"/>
      <c r="G18" s="29"/>
      <c r="H18" s="29"/>
      <c r="I18" s="29"/>
      <c r="J18" s="29"/>
      <c r="K18" s="37" t="str">
        <f aca="false">IF(J18="","",EDATE(J18,24))</f>
        <v/>
      </c>
      <c r="L18" s="29"/>
      <c r="M18" s="29"/>
    </row>
    <row r="19" customFormat="false" ht="15" hidden="false" customHeight="false" outlineLevel="0" collapsed="false">
      <c r="A19" s="29"/>
      <c r="B19" s="29"/>
      <c r="C19" s="29"/>
      <c r="D19" s="29"/>
      <c r="E19" s="29"/>
      <c r="F19" s="29"/>
      <c r="G19" s="29"/>
      <c r="H19" s="29"/>
      <c r="I19" s="29"/>
      <c r="J19" s="29"/>
      <c r="K19" s="37" t="str">
        <f aca="false">IF(J19="","",EDATE(J19,24))</f>
        <v/>
      </c>
      <c r="L19" s="29"/>
      <c r="M19" s="29"/>
    </row>
    <row r="20" customFormat="false" ht="15" hidden="false" customHeight="false" outlineLevel="0" collapsed="false">
      <c r="A20" s="29"/>
      <c r="B20" s="29"/>
      <c r="C20" s="29"/>
      <c r="D20" s="29"/>
      <c r="E20" s="29"/>
      <c r="F20" s="29"/>
      <c r="G20" s="29"/>
      <c r="H20" s="29"/>
      <c r="I20" s="29"/>
      <c r="J20" s="29"/>
      <c r="K20" s="37" t="str">
        <f aca="false">IF(J20="","",EDATE(J20,24))</f>
        <v/>
      </c>
      <c r="L20" s="29"/>
      <c r="M20" s="29"/>
    </row>
    <row r="21" customFormat="false" ht="15" hidden="false" customHeight="false" outlineLevel="0" collapsed="false">
      <c r="A21" s="29"/>
      <c r="B21" s="29"/>
      <c r="C21" s="29"/>
      <c r="D21" s="29"/>
      <c r="E21" s="29"/>
      <c r="F21" s="29"/>
      <c r="G21" s="29"/>
      <c r="H21" s="29"/>
      <c r="I21" s="29"/>
      <c r="J21" s="29"/>
      <c r="K21" s="37" t="str">
        <f aca="false">IF(J21="","",EDATE(J21,24))</f>
        <v/>
      </c>
      <c r="L21" s="29"/>
      <c r="M21" s="29"/>
    </row>
    <row r="22" customFormat="false" ht="15" hidden="false" customHeight="false" outlineLevel="0" collapsed="false">
      <c r="A22" s="29"/>
      <c r="B22" s="29"/>
      <c r="C22" s="29"/>
      <c r="D22" s="29"/>
      <c r="E22" s="29"/>
      <c r="F22" s="29"/>
      <c r="G22" s="29"/>
      <c r="H22" s="29"/>
      <c r="I22" s="29"/>
      <c r="J22" s="29"/>
      <c r="K22" s="37" t="str">
        <f aca="false">IF(J22="","",EDATE(J22,24))</f>
        <v/>
      </c>
      <c r="L22" s="29"/>
      <c r="M22" s="29"/>
    </row>
    <row r="23" customFormat="false" ht="15" hidden="false" customHeight="false" outlineLevel="0" collapsed="false">
      <c r="A23" s="29"/>
      <c r="B23" s="29"/>
      <c r="C23" s="29"/>
      <c r="D23" s="29"/>
      <c r="E23" s="29"/>
      <c r="F23" s="29"/>
      <c r="G23" s="29"/>
      <c r="H23" s="29"/>
      <c r="I23" s="29"/>
      <c r="J23" s="29"/>
      <c r="K23" s="37" t="str">
        <f aca="false">IF(J23="","",EDATE(J23,24))</f>
        <v/>
      </c>
      <c r="L23" s="29"/>
      <c r="M23" s="29"/>
    </row>
    <row r="24" customFormat="false" ht="15" hidden="false" customHeight="false" outlineLevel="0" collapsed="false">
      <c r="A24" s="29"/>
      <c r="B24" s="29"/>
      <c r="C24" s="29"/>
      <c r="D24" s="29"/>
      <c r="E24" s="29"/>
      <c r="F24" s="29"/>
      <c r="G24" s="29"/>
      <c r="H24" s="29"/>
      <c r="I24" s="29"/>
      <c r="J24" s="29"/>
      <c r="K24" s="37" t="str">
        <f aca="false">IF(J24="","",EDATE(J24,24))</f>
        <v/>
      </c>
      <c r="L24" s="29"/>
      <c r="M24" s="29"/>
    </row>
    <row r="26" customFormat="false" ht="42" hidden="false" customHeight="true" outlineLevel="0" collapsed="false">
      <c r="A26" s="18" t="s">
        <v>140</v>
      </c>
      <c r="B26" s="18"/>
      <c r="C26" s="18"/>
      <c r="D26" s="18"/>
      <c r="E26" s="18"/>
      <c r="F26" s="18"/>
      <c r="G26" s="18"/>
      <c r="H26" s="18"/>
      <c r="I26" s="18"/>
      <c r="J26" s="18"/>
      <c r="K26" s="18"/>
      <c r="L26" s="18"/>
      <c r="M26" s="18"/>
    </row>
  </sheetData>
  <mergeCells count="2">
    <mergeCell ref="A1:M1"/>
    <mergeCell ref="A26:M26"/>
  </mergeCells>
  <dataValidations count="2">
    <dataValidation allowBlank="true" errorStyle="stop" operator="between" showDropDown="false" showErrorMessage="false" showInputMessage="false" sqref="G5:G24" type="list">
      <formula1>"Approved,Approved with conditions,Revise &amp; resubmit,Rejected"</formula1>
      <formula2>0</formula2>
    </dataValidation>
    <dataValidation allowBlank="true" errorStyle="stop" operator="between" showDropDown="false" showErrorMessage="false" showInputMessage="false" sqref="L5:L24"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2026-05-23T23:10:41Z</dcterms:created>
  <dc:creator>openpyxl</dc:creator>
  <dc:description/>
  <dc:language>en-US</dc:language>
  <cp:lastModifiedBy/>
  <dcterms:modified xsi:type="dcterms:W3CDTF">2026-05-23T23:10:41Z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